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arthu\Desktop\"/>
    </mc:Choice>
  </mc:AlternateContent>
  <xr:revisionPtr revIDLastSave="0" documentId="8_{C0019D87-0F23-4AF8-8457-48A196FC5F6D}" xr6:coauthVersionLast="47" xr6:coauthVersionMax="47" xr10:uidLastSave="{00000000-0000-0000-0000-000000000000}"/>
  <bookViews>
    <workbookView xWindow="-108" yWindow="-108" windowWidth="30936" windowHeight="1677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1" l="1"/>
  <c r="H7" i="11"/>
  <c r="H35" i="11" l="1"/>
  <c r="H28" i="11"/>
  <c r="H23" i="11"/>
  <c r="H14" i="11"/>
  <c r="H8" i="11"/>
  <c r="H25" i="11" l="1"/>
  <c r="H24" i="11"/>
  <c r="H9" i="11"/>
  <c r="H13" i="11" l="1"/>
  <c r="H30" i="11"/>
  <c r="H29" i="11"/>
  <c r="J5" i="11"/>
  <c r="K5" i="11" s="1"/>
  <c r="L5" i="11" s="1"/>
  <c r="M5" i="11" s="1"/>
  <c r="N5" i="11" s="1"/>
  <c r="P5" i="11" s="1"/>
  <c r="H15" i="11" l="1"/>
  <c r="H27" i="11"/>
  <c r="H10" i="11"/>
  <c r="H12" i="11"/>
  <c r="Q5" i="11"/>
  <c r="R5" i="11" s="1"/>
  <c r="S5" i="11" s="1"/>
  <c r="T5" i="11" s="1"/>
  <c r="U5" i="11" s="1"/>
  <c r="V5" i="11" s="1"/>
  <c r="H16" i="11" l="1"/>
  <c r="W5" i="11"/>
  <c r="V6" i="11"/>
  <c r="X5" i="11"/>
  <c r="Y5" i="11" s="1"/>
  <c r="Z5" i="11" s="1"/>
  <c r="AA5" i="11" s="1"/>
  <c r="AB5" i="11" s="1"/>
  <c r="AC5" i="11" s="1"/>
  <c r="H20" i="11" l="1"/>
  <c r="H19" i="11"/>
  <c r="H17" i="11"/>
  <c r="AD5" i="11"/>
  <c r="AE5" i="11" s="1"/>
  <c r="AF5" i="11" s="1"/>
  <c r="AG5" i="11" s="1"/>
  <c r="AH5" i="11" s="1"/>
  <c r="AI5" i="11" s="1"/>
  <c r="AJ5" i="11" s="1"/>
  <c r="AJ6" i="11" s="1"/>
  <c r="AC6" i="11"/>
  <c r="H18" i="11" l="1"/>
  <c r="H21" i="11"/>
  <c r="AK5" i="11"/>
  <c r="AL5" i="11" s="1"/>
  <c r="AM5" i="11" s="1"/>
  <c r="AN5" i="11" s="1"/>
  <c r="AO5" i="11" s="1"/>
  <c r="AP5" i="11" s="1"/>
  <c r="AQ5" i="11" s="1"/>
  <c r="AQ6" i="11" s="1"/>
  <c r="H22" i="11" l="1"/>
  <c r="AR5" i="11"/>
  <c r="AS5" i="11" s="1"/>
  <c r="AT5" i="11" l="1"/>
  <c r="O6" i="11"/>
  <c r="AU5" i="11" l="1"/>
  <c r="AV5" i="11" l="1"/>
  <c r="AW5" i="11" l="1"/>
  <c r="AX5" i="11" l="1"/>
  <c r="AY5" i="11" l="1"/>
  <c r="AX6" i="11"/>
  <c r="AZ5" i="11"/>
  <c r="BA5" i="11" l="1"/>
  <c r="BB5" i="11" l="1"/>
  <c r="BC5" i="11" l="1"/>
  <c r="BD5" i="11" l="1"/>
  <c r="BE5" i="11" l="1"/>
  <c r="BE6" i="11" s="1"/>
  <c r="BF5" i="11" l="1"/>
  <c r="BG5" i="11" l="1"/>
  <c r="BH5" i="11" l="1"/>
  <c r="BI5" i="11" l="1"/>
  <c r="BJ5" i="11" l="1"/>
  <c r="BK5" i="11" l="1"/>
  <c r="BL5" i="11" l="1"/>
  <c r="BM5" i="11" l="1"/>
  <c r="BL6" i="11"/>
  <c r="BN5" i="11"/>
  <c r="BO5" i="11" l="1"/>
  <c r="BP5" i="11" l="1"/>
  <c r="BQ5" i="11" l="1"/>
  <c r="BR5" i="11" l="1"/>
  <c r="BS5" i="11" l="1"/>
  <c r="BS6" i="11" s="1"/>
</calcChain>
</file>

<file path=xl/sharedStrings.xml><?xml version="1.0" encoding="utf-8"?>
<sst xmlns="http://schemas.openxmlformats.org/spreadsheetml/2006/main" count="98" uniqueCount="49">
  <si>
    <t>Project lead</t>
  </si>
  <si>
    <t>SIMPLE GANTT CHART by Vertex42.com</t>
  </si>
  <si>
    <t xml:space="preserve">Do not delete this row. This row is hidden to preserve a formula that is used to highlight the current day within the project schedule. </t>
  </si>
  <si>
    <t>Execution</t>
  </si>
  <si>
    <t>Evaluation</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</si>
  <si>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</si>
  <si>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</si>
  <si>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</si>
  <si>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</si>
  <si>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</si>
  <si>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</si>
  <si>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</si>
  <si>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</si>
  <si>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</si>
  <si>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</si>
  <si>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</si>
  <si>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</si>
  <si>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</si>
  <si>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PARKS</t>
  </si>
  <si>
    <t>Application de parking en temps réel</t>
  </si>
  <si>
    <t>Début projet :</t>
  </si>
  <si>
    <t>23 Fév. 2026</t>
  </si>
  <si>
    <t>l</t>
  </si>
  <si>
    <t>m</t>
  </si>
  <si>
    <t>j</t>
  </si>
  <si>
    <t>v</t>
  </si>
  <si>
    <t>s</t>
  </si>
  <si>
    <t>Initialisation</t>
  </si>
  <si>
    <t>Définir les objectifs</t>
  </si>
  <si>
    <t>TÂCHES</t>
  </si>
  <si>
    <t>Définir les rôles</t>
  </si>
  <si>
    <t>Création du trello</t>
  </si>
  <si>
    <t>Création du git</t>
  </si>
  <si>
    <t>Aggrémentation du trello</t>
  </si>
  <si>
    <t>Plannification &amp; design</t>
  </si>
  <si>
    <t>Architecture du projet</t>
  </si>
  <si>
    <t>Diagramme de classes</t>
  </si>
  <si>
    <t>Conception des budgets</t>
  </si>
  <si>
    <t>Diagramme de cas d'utilisation</t>
  </si>
  <si>
    <t>Cahier des charges</t>
  </si>
  <si>
    <t>Identification et plannification des risques</t>
  </si>
  <si>
    <t>Diagramme d'états transitions</t>
  </si>
  <si>
    <t>Diagramme d'activités</t>
  </si>
  <si>
    <t>Création de la maquette</t>
  </si>
  <si>
    <t>Stack</t>
  </si>
  <si>
    <t>Mise a jour réccurentes</t>
  </si>
  <si>
    <t>Tester et valider</t>
  </si>
  <si>
    <t>Documentation et techonologies utilisées</t>
  </si>
  <si>
    <t>Rédaction du rapport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</si>
</sst>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8" tint="0.399975585192419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19" xfId="0" applyNumberFormat="1" applyFont="1" applyFill="1" applyBorder="1" applyAlignment="1">
      <alignment horizontal="center" vertical="center"/>
    </xf>
    <xf numFmtId="168" fontId="21" fillId="12" borderId="17"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0" borderId="0" xfId="6" applyFont="1" applyAlignment="1">
      <alignment horizontal="left" vertical="center" indent="1"/>
    </xf>
    <xf numFmtId="0" fontId="24" fillId="0" borderId="0" xfId="7" applyFont="1" applyAlignment="1">
      <alignment horizontal="left" vertical="center" indent="1"/>
    </xf>
    <xf numFmtId="0" fontId="27"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167" fontId="19" fillId="2" borderId="13"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xf numFmtId="167" fontId="19" fillId="2" borderId="17" xfId="0" applyNumberFormat="1" applyFont="1" applyFill="1" applyBorder="1" applyAlignment="1">
      <alignment horizontal="center" vertical="center" wrapText="1"/>
    </xf>
    <xf numFmtId="0" fontId="20" fillId="11" borderId="15" xfId="0" applyFont="1" applyFill="1" applyBorder="1" applyAlignment="1">
      <alignment horizontal="center" vertical="center"/>
    </xf>
    <xf numFmtId="0" fontId="4" fillId="2" borderId="20" xfId="0" applyFont="1" applyFill="1" applyBorder="1"/>
    <xf numFmtId="0" fontId="25" fillId="0" borderId="0" xfId="0" applyFont="1" applyAlignment="1">
      <alignment horizontal="left"/>
    </xf>
    <xf numFmtId="0" fontId="26" fillId="0" borderId="0" xfId="0" applyFont="1"/>
    <xf numFmtId="166" fontId="25" fillId="0" borderId="0" xfId="9" applyFont="1" applyBorder="1" applyAlignment="1">
      <alignment horizontal="left"/>
    </xf>
    <xf numFmtId="0" fontId="24" fillId="0" borderId="0" xfId="8" applyFont="1" applyAlignment="1">
      <alignment horizontal="left"/>
    </xf>
    <xf numFmtId="0" fontId="4" fillId="0" borderId="0" xfId="0" applyFont="1"/>
    <xf numFmtId="0" fontId="13" fillId="0" borderId="0" xfId="3" applyAlignment="1">
      <alignment wrapText="1"/>
    </xf>
    <xf numFmtId="0" fontId="20"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11" borderId="15" xfId="0" applyFont="1" applyFill="1" applyBorder="1" applyAlignment="1">
      <alignment vertical="center"/>
    </xf>
    <xf numFmtId="167" fontId="19" fillId="2" borderId="19" xfId="0" applyNumberFormat="1" applyFont="1" applyFill="1" applyBorder="1" applyAlignment="1">
      <alignment horizontal="center" vertical="center" wrapText="1"/>
    </xf>
    <xf numFmtId="0" fontId="4" fillId="13" borderId="4" xfId="0" applyFont="1" applyFill="1" applyBorder="1" applyAlignment="1">
      <alignment vertical="center"/>
    </xf>
    <xf numFmtId="0" fontId="4" fillId="3" borderId="0" xfId="0" applyFont="1" applyFill="1" applyAlignment="1">
      <alignment vertical="center"/>
    </xf>
    <xf numFmtId="0" fontId="4" fillId="14" borderId="4" xfId="0" applyFont="1" applyFill="1" applyBorder="1" applyAlignment="1">
      <alignment vertical="center"/>
    </xf>
    <xf numFmtId="0" fontId="4" fillId="4" borderId="4" xfId="0" applyFont="1" applyFill="1" applyBorder="1" applyAlignment="1">
      <alignment vertical="center"/>
    </xf>
    <xf numFmtId="0" fontId="4" fillId="15" borderId="4" xfId="0" applyFont="1" applyFill="1" applyBorder="1" applyAlignment="1">
      <alignment vertical="center"/>
    </xf>
    <xf numFmtId="0" fontId="4" fillId="16" borderId="4" xfId="0" applyFont="1" applyFill="1" applyBorder="1" applyAlignment="1">
      <alignment vertical="center"/>
    </xf>
    <xf numFmtId="0" fontId="4" fillId="17" borderId="4" xfId="0" applyFont="1" applyFill="1" applyBorder="1" applyAlignment="1">
      <alignment vertical="center"/>
    </xf>
    <xf numFmtId="0" fontId="4" fillId="10" borderId="4" xfId="0" applyFont="1" applyFill="1" applyBorder="1" applyAlignment="1">
      <alignment vertical="center"/>
    </xf>
  </cellXfs>
  <cellStyles count="13">
    <cellStyle name="Date" xfId="10" xr:uid="{229918B6-DD13-4F5A-97B9-305F7E002AA3}"/>
    <cellStyle name="Lien hypertexte" xfId="1" builtinId="8" customBuiltin="1"/>
    <cellStyle name="Milliers" xfId="4" builtinId="3" customBuiltin="1"/>
    <cellStyle name="Name" xfId="11" xr:uid="{B2D3C1EE-6B41-4801-AAFC-C2274E49E503}"/>
    <cellStyle name="Normal" xfId="0" builtinId="0"/>
    <cellStyle name="Pourcentage" xfId="2" builtinId="5"/>
    <cellStyle name="Project Start" xfId="9" xr:uid="{8EB8A09A-C31C-40A3-B2C1-9449520178B8}"/>
    <cellStyle name="Task" xfId="12" xr:uid="{6391D789-272B-4DD2-9BF3-2CDCF610FA41}"/>
    <cellStyle name="Titre" xfId="5" builtinId="15" customBuiltin="1"/>
    <cellStyle name="Titre 1" xfId="6" builtinId="16" customBuiltin="1"/>
    <cellStyle name="Titre 2" xfId="7" builtinId="17" customBuiltin="1"/>
    <cellStyle name="Titre 3" xfId="8" builtinId="18" customBuiltin="1"/>
    <cellStyle name="zHiddenText" xfId="3" xr:uid="{26E66EE6-E33F-4D77-BAE4-0FB4F5BBF673}"/>
  </cellStyles>
  <dxfs count="58">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57"/>
      <tableStyleElement type="headerRow" dxfId="56"/>
      <tableStyleElement type="totalRow" dxfId="55"/>
      <tableStyleElement type="firstColumn" dxfId="54"/>
      <tableStyleElement type="lastColumn" dxfId="53"/>
      <tableStyleElement type="firstRowStripe" dxfId="52"/>
      <tableStyleElement type="secondRowStripe" dxfId="51"/>
      <tableStyleElement type="firstColumnStripe" dxfId="50"/>
      <tableStyleElement type="secondColumnStripe" dxfId="4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S39"/>
  <sheetViews>
    <sheetView showGridLines="0" tabSelected="1" showRuler="0" zoomScale="55" zoomScaleNormal="100" zoomScalePageLayoutView="70" workbookViewId="0">
      <selection activeCell="BG32" sqref="BG32"/>
    </sheetView>
  </sheetViews>
  <sheetFormatPr baseColWidth="10" defaultColWidth="8.69921875" defaultRowHeight="30" customHeight="1" x14ac:dyDescent="0.25"/>
  <cols>
    <col min="1" max="1" width="2.69921875" style="12" customWidth="1"/>
    <col min="2" max="2" width="22.69921875" customWidth="1"/>
    <col min="3" max="3" width="8.69921875" customWidth="1"/>
    <col min="4" max="4" width="1.59765625" customWidth="1"/>
    <col min="5" max="5" width="2" style="2" customWidth="1"/>
    <col min="6" max="6" width="1.796875" customWidth="1"/>
    <col min="7" max="7" width="2.69921875" customWidth="1"/>
    <col min="8" max="8" width="6" hidden="1" customWidth="1"/>
    <col min="9" max="71" width="2.69921875" customWidth="1"/>
  </cols>
  <sheetData>
    <row r="1" spans="1:71" ht="90" customHeight="1" x14ac:dyDescent="1.45">
      <c r="A1" s="97"/>
      <c r="B1" s="89" t="s">
        <v>18</v>
      </c>
      <c r="C1" s="16"/>
      <c r="D1" s="17"/>
      <c r="E1" s="18"/>
      <c r="F1" s="19"/>
      <c r="H1" s="1"/>
      <c r="I1" s="106" t="s">
        <v>20</v>
      </c>
      <c r="J1" s="107"/>
      <c r="K1" s="107"/>
      <c r="L1" s="107"/>
      <c r="M1" s="107"/>
      <c r="N1" s="107"/>
      <c r="O1" s="107"/>
      <c r="P1" s="22"/>
      <c r="Q1" s="105"/>
      <c r="R1" s="104"/>
      <c r="S1" s="104"/>
      <c r="T1" s="104"/>
      <c r="U1" s="104"/>
      <c r="V1" s="104"/>
      <c r="W1" s="104"/>
      <c r="X1" s="104"/>
      <c r="Y1" s="104"/>
      <c r="Z1" s="104"/>
    </row>
    <row r="2" spans="1:71" ht="30" customHeight="1" x14ac:dyDescent="0.6">
      <c r="B2" s="87" t="s">
        <v>0</v>
      </c>
      <c r="C2" s="88"/>
      <c r="D2" s="20"/>
      <c r="E2" s="21"/>
      <c r="F2" s="20"/>
      <c r="I2" s="106" t="s">
        <v>21</v>
      </c>
      <c r="J2" s="107"/>
      <c r="K2" s="107"/>
      <c r="L2" s="107"/>
      <c r="M2" s="107"/>
      <c r="N2" s="107"/>
      <c r="O2" s="107"/>
      <c r="P2" s="22"/>
      <c r="Q2" s="103"/>
      <c r="R2" s="104"/>
      <c r="S2" s="104"/>
      <c r="T2" s="104"/>
      <c r="U2" s="104"/>
      <c r="V2" s="104"/>
      <c r="W2" s="104"/>
      <c r="X2" s="104"/>
      <c r="Y2" s="104"/>
      <c r="Z2" s="104"/>
    </row>
    <row r="3" spans="1:71" s="24" customFormat="1" ht="30" customHeight="1" x14ac:dyDescent="0.25">
      <c r="A3" s="12"/>
      <c r="B3" s="23" t="s">
        <v>19</v>
      </c>
      <c r="D3" s="25"/>
      <c r="E3" s="26"/>
    </row>
    <row r="4" spans="1:71" s="24" customFormat="1" ht="30" customHeight="1" x14ac:dyDescent="0.25">
      <c r="A4" s="97"/>
      <c r="B4" s="27"/>
      <c r="E4" s="28"/>
      <c r="I4" s="100">
        <v>46076</v>
      </c>
      <c r="J4" s="98"/>
      <c r="K4" s="98"/>
      <c r="L4" s="98"/>
      <c r="M4" s="98"/>
      <c r="N4" s="98"/>
      <c r="O4" s="98"/>
      <c r="P4" s="98">
        <v>46083</v>
      </c>
      <c r="Q4" s="98"/>
      <c r="R4" s="98"/>
      <c r="S4" s="98"/>
      <c r="T4" s="98"/>
      <c r="U4" s="98"/>
      <c r="V4" s="98"/>
      <c r="W4" s="98">
        <v>46090</v>
      </c>
      <c r="X4" s="98"/>
      <c r="Y4" s="98"/>
      <c r="Z4" s="98"/>
      <c r="AA4" s="98"/>
      <c r="AB4" s="98"/>
      <c r="AC4" s="98"/>
      <c r="AD4" s="98">
        <v>46097</v>
      </c>
      <c r="AE4" s="98"/>
      <c r="AF4" s="98"/>
      <c r="AG4" s="98"/>
      <c r="AH4" s="98"/>
      <c r="AI4" s="98"/>
      <c r="AJ4" s="98"/>
      <c r="AK4" s="98">
        <v>46104</v>
      </c>
      <c r="AL4" s="98"/>
      <c r="AM4" s="98"/>
      <c r="AN4" s="98"/>
      <c r="AO4" s="98"/>
      <c r="AP4" s="98"/>
      <c r="AQ4" s="98"/>
      <c r="AR4" s="98">
        <v>46111</v>
      </c>
      <c r="AS4" s="98"/>
      <c r="AT4" s="98"/>
      <c r="AU4" s="98"/>
      <c r="AV4" s="98"/>
      <c r="AW4" s="98"/>
      <c r="AX4" s="98"/>
      <c r="AY4" s="98">
        <v>46118</v>
      </c>
      <c r="AZ4" s="98"/>
      <c r="BA4" s="98"/>
      <c r="BB4" s="98"/>
      <c r="BC4" s="98"/>
      <c r="BD4" s="98"/>
      <c r="BE4" s="98"/>
      <c r="BF4" s="99">
        <v>46125</v>
      </c>
      <c r="BG4" s="112"/>
      <c r="BH4" s="112"/>
      <c r="BI4" s="112"/>
      <c r="BJ4" s="112"/>
      <c r="BK4" s="112"/>
      <c r="BL4" s="112"/>
      <c r="BM4" s="99">
        <v>46132</v>
      </c>
      <c r="BN4" s="112"/>
      <c r="BO4" s="112"/>
      <c r="BP4" s="112"/>
      <c r="BQ4" s="112"/>
      <c r="BR4" s="112"/>
      <c r="BS4" s="112"/>
    </row>
    <row r="5" spans="1:71" s="24" customFormat="1" ht="15" customHeight="1" x14ac:dyDescent="0.25">
      <c r="A5" s="108"/>
      <c r="B5" s="109" t="s">
        <v>29</v>
      </c>
      <c r="C5" s="111"/>
      <c r="D5" s="101"/>
      <c r="E5" s="101"/>
      <c r="F5" s="101"/>
      <c r="I5" s="29">
        <v>23</v>
      </c>
      <c r="J5" s="29">
        <f>I5+1</f>
        <v>24</v>
      </c>
      <c r="K5" s="29">
        <f t="shared" ref="K5:AX5" si="0">J5+1</f>
        <v>25</v>
      </c>
      <c r="L5" s="29">
        <f t="shared" si="0"/>
        <v>26</v>
      </c>
      <c r="M5" s="29">
        <f t="shared" si="0"/>
        <v>27</v>
      </c>
      <c r="N5" s="29">
        <f t="shared" si="0"/>
        <v>28</v>
      </c>
      <c r="O5" s="30">
        <v>1</v>
      </c>
      <c r="P5" s="31">
        <f>O5+1</f>
        <v>2</v>
      </c>
      <c r="Q5" s="29">
        <f>P5+1</f>
        <v>3</v>
      </c>
      <c r="R5" s="29">
        <f t="shared" si="0"/>
        <v>4</v>
      </c>
      <c r="S5" s="29">
        <f t="shared" si="0"/>
        <v>5</v>
      </c>
      <c r="T5" s="29">
        <f t="shared" si="0"/>
        <v>6</v>
      </c>
      <c r="U5" s="29">
        <f t="shared" si="0"/>
        <v>7</v>
      </c>
      <c r="V5" s="30">
        <f t="shared" si="0"/>
        <v>8</v>
      </c>
      <c r="W5" s="31">
        <f>V5+1</f>
        <v>9</v>
      </c>
      <c r="X5" s="29">
        <f>W5+1</f>
        <v>10</v>
      </c>
      <c r="Y5" s="29">
        <f t="shared" si="0"/>
        <v>11</v>
      </c>
      <c r="Z5" s="29">
        <f t="shared" si="0"/>
        <v>12</v>
      </c>
      <c r="AA5" s="29">
        <f t="shared" si="0"/>
        <v>13</v>
      </c>
      <c r="AB5" s="29">
        <f t="shared" si="0"/>
        <v>14</v>
      </c>
      <c r="AC5" s="30">
        <f t="shared" si="0"/>
        <v>15</v>
      </c>
      <c r="AD5" s="31">
        <f>AC5+1</f>
        <v>16</v>
      </c>
      <c r="AE5" s="29">
        <f>AD5+1</f>
        <v>17</v>
      </c>
      <c r="AF5" s="29">
        <f t="shared" si="0"/>
        <v>18</v>
      </c>
      <c r="AG5" s="29">
        <f t="shared" si="0"/>
        <v>19</v>
      </c>
      <c r="AH5" s="29">
        <f t="shared" si="0"/>
        <v>20</v>
      </c>
      <c r="AI5" s="29">
        <f t="shared" si="0"/>
        <v>21</v>
      </c>
      <c r="AJ5" s="30">
        <f t="shared" si="0"/>
        <v>22</v>
      </c>
      <c r="AK5" s="31">
        <f>AJ5+1</f>
        <v>23</v>
      </c>
      <c r="AL5" s="29">
        <f>AK5+1</f>
        <v>24</v>
      </c>
      <c r="AM5" s="29">
        <f t="shared" si="0"/>
        <v>25</v>
      </c>
      <c r="AN5" s="29">
        <f t="shared" si="0"/>
        <v>26</v>
      </c>
      <c r="AO5" s="29">
        <f t="shared" si="0"/>
        <v>27</v>
      </c>
      <c r="AP5" s="29">
        <f t="shared" si="0"/>
        <v>28</v>
      </c>
      <c r="AQ5" s="30">
        <f t="shared" si="0"/>
        <v>29</v>
      </c>
      <c r="AR5" s="31">
        <f>AQ5+1</f>
        <v>30</v>
      </c>
      <c r="AS5" s="29">
        <f>AR5+1</f>
        <v>31</v>
      </c>
      <c r="AT5" s="29">
        <f t="shared" si="0"/>
        <v>32</v>
      </c>
      <c r="AU5" s="29">
        <f t="shared" si="0"/>
        <v>33</v>
      </c>
      <c r="AV5" s="29">
        <f t="shared" si="0"/>
        <v>34</v>
      </c>
      <c r="AW5" s="29">
        <f t="shared" si="0"/>
        <v>35</v>
      </c>
      <c r="AX5" s="30">
        <f t="shared" si="0"/>
        <v>36</v>
      </c>
      <c r="AY5" s="31">
        <f>AX5+1</f>
        <v>37</v>
      </c>
      <c r="AZ5" s="29">
        <f>AY5+1</f>
        <v>38</v>
      </c>
      <c r="BA5" s="29">
        <f t="shared" ref="BA5:BE5" si="1">AZ5+1</f>
        <v>39</v>
      </c>
      <c r="BB5" s="29">
        <f t="shared" si="1"/>
        <v>40</v>
      </c>
      <c r="BC5" s="29">
        <f t="shared" si="1"/>
        <v>41</v>
      </c>
      <c r="BD5" s="29">
        <f t="shared" si="1"/>
        <v>42</v>
      </c>
      <c r="BE5" s="30">
        <f t="shared" si="1"/>
        <v>43</v>
      </c>
      <c r="BF5" s="31">
        <f>BE5+1</f>
        <v>44</v>
      </c>
      <c r="BG5" s="29">
        <f>BF5+1</f>
        <v>45</v>
      </c>
      <c r="BH5" s="29">
        <f t="shared" ref="BH5:BL5" si="2">BG5+1</f>
        <v>46</v>
      </c>
      <c r="BI5" s="29">
        <f t="shared" si="2"/>
        <v>47</v>
      </c>
      <c r="BJ5" s="29">
        <f t="shared" si="2"/>
        <v>48</v>
      </c>
      <c r="BK5" s="29">
        <f t="shared" si="2"/>
        <v>49</v>
      </c>
      <c r="BL5" s="29">
        <f t="shared" si="2"/>
        <v>50</v>
      </c>
      <c r="BM5" s="31">
        <f>BL5+1</f>
        <v>51</v>
      </c>
      <c r="BN5" s="29">
        <f>BM5+1</f>
        <v>52</v>
      </c>
      <c r="BO5" s="29">
        <f t="shared" ref="BO5" si="3">BN5+1</f>
        <v>53</v>
      </c>
      <c r="BP5" s="29">
        <f t="shared" ref="BP5" si="4">BO5+1</f>
        <v>54</v>
      </c>
      <c r="BQ5" s="29">
        <f t="shared" ref="BQ5" si="5">BP5+1</f>
        <v>55</v>
      </c>
      <c r="BR5" s="29">
        <f t="shared" ref="BR5" si="6">BQ5+1</f>
        <v>56</v>
      </c>
      <c r="BS5" s="29">
        <f t="shared" ref="BS5" si="7">BR5+1</f>
        <v>57</v>
      </c>
    </row>
    <row r="6" spans="1:71" s="24" customFormat="1" ht="15" customHeight="1" thickBot="1" x14ac:dyDescent="0.3">
      <c r="A6" s="108"/>
      <c r="B6" s="110"/>
      <c r="C6" s="102"/>
      <c r="D6" s="102"/>
      <c r="E6" s="102"/>
      <c r="F6" s="102"/>
      <c r="I6" s="32" t="s">
        <v>22</v>
      </c>
      <c r="J6" s="33" t="s">
        <v>23</v>
      </c>
      <c r="K6" s="33" t="s">
        <v>23</v>
      </c>
      <c r="L6" s="33" t="s">
        <v>24</v>
      </c>
      <c r="M6" s="33" t="s">
        <v>25</v>
      </c>
      <c r="N6" s="33" t="s">
        <v>26</v>
      </c>
      <c r="O6" s="33" t="str">
        <f t="shared" ref="O6:AJ6" si="8">LEFT(TEXT(O5,"ddd"),1)</f>
        <v>d</v>
      </c>
      <c r="P6" s="32" t="s">
        <v>22</v>
      </c>
      <c r="Q6" s="33" t="s">
        <v>23</v>
      </c>
      <c r="R6" s="33" t="s">
        <v>23</v>
      </c>
      <c r="S6" s="33" t="s">
        <v>24</v>
      </c>
      <c r="T6" s="33" t="s">
        <v>25</v>
      </c>
      <c r="U6" s="33" t="s">
        <v>26</v>
      </c>
      <c r="V6" s="33" t="str">
        <f t="shared" si="8"/>
        <v>d</v>
      </c>
      <c r="W6" s="32" t="s">
        <v>22</v>
      </c>
      <c r="X6" s="33" t="s">
        <v>23</v>
      </c>
      <c r="Y6" s="33" t="s">
        <v>23</v>
      </c>
      <c r="Z6" s="33" t="s">
        <v>24</v>
      </c>
      <c r="AA6" s="33" t="s">
        <v>25</v>
      </c>
      <c r="AB6" s="33" t="s">
        <v>26</v>
      </c>
      <c r="AC6" s="33" t="str">
        <f t="shared" si="8"/>
        <v>d</v>
      </c>
      <c r="AD6" s="32" t="s">
        <v>22</v>
      </c>
      <c r="AE6" s="33" t="s">
        <v>23</v>
      </c>
      <c r="AF6" s="33" t="s">
        <v>23</v>
      </c>
      <c r="AG6" s="33" t="s">
        <v>24</v>
      </c>
      <c r="AH6" s="33" t="s">
        <v>25</v>
      </c>
      <c r="AI6" s="33" t="s">
        <v>26</v>
      </c>
      <c r="AJ6" s="33" t="str">
        <f t="shared" si="8"/>
        <v>d</v>
      </c>
      <c r="AK6" s="32" t="s">
        <v>22</v>
      </c>
      <c r="AL6" s="33" t="s">
        <v>23</v>
      </c>
      <c r="AM6" s="33" t="s">
        <v>23</v>
      </c>
      <c r="AN6" s="33" t="s">
        <v>24</v>
      </c>
      <c r="AO6" s="33" t="s">
        <v>25</v>
      </c>
      <c r="AP6" s="33" t="s">
        <v>26</v>
      </c>
      <c r="AQ6" s="33" t="str">
        <f t="shared" ref="AQ6" si="9">LEFT(TEXT(AQ5,"ddd"),1)</f>
        <v>d</v>
      </c>
      <c r="AR6" s="32" t="s">
        <v>22</v>
      </c>
      <c r="AS6" s="33" t="s">
        <v>23</v>
      </c>
      <c r="AT6" s="33" t="s">
        <v>23</v>
      </c>
      <c r="AU6" s="33" t="s">
        <v>24</v>
      </c>
      <c r="AV6" s="33" t="s">
        <v>25</v>
      </c>
      <c r="AW6" s="33" t="s">
        <v>26</v>
      </c>
      <c r="AX6" s="33" t="str">
        <f t="shared" ref="AX6" si="10">LEFT(TEXT(AX5,"ddd"),1)</f>
        <v>d</v>
      </c>
      <c r="AY6" s="32" t="s">
        <v>22</v>
      </c>
      <c r="AZ6" s="33" t="s">
        <v>23</v>
      </c>
      <c r="BA6" s="33" t="s">
        <v>23</v>
      </c>
      <c r="BB6" s="33" t="s">
        <v>24</v>
      </c>
      <c r="BC6" s="33" t="s">
        <v>25</v>
      </c>
      <c r="BD6" s="33" t="s">
        <v>26</v>
      </c>
      <c r="BE6" s="33" t="str">
        <f t="shared" ref="BE6" si="11">LEFT(TEXT(BE5,"ddd"),1)</f>
        <v>d</v>
      </c>
      <c r="BF6" s="32" t="s">
        <v>22</v>
      </c>
      <c r="BG6" s="33" t="s">
        <v>23</v>
      </c>
      <c r="BH6" s="33" t="s">
        <v>23</v>
      </c>
      <c r="BI6" s="33" t="s">
        <v>24</v>
      </c>
      <c r="BJ6" s="33" t="s">
        <v>25</v>
      </c>
      <c r="BK6" s="33" t="s">
        <v>26</v>
      </c>
      <c r="BL6" s="33" t="str">
        <f t="shared" ref="BL6" si="12">LEFT(TEXT(BL5,"ddd"),1)</f>
        <v>d</v>
      </c>
      <c r="BM6" s="32" t="s">
        <v>22</v>
      </c>
      <c r="BN6" s="33" t="s">
        <v>23</v>
      </c>
      <c r="BO6" s="33" t="s">
        <v>23</v>
      </c>
      <c r="BP6" s="33" t="s">
        <v>24</v>
      </c>
      <c r="BQ6" s="33" t="s">
        <v>25</v>
      </c>
      <c r="BR6" s="33" t="s">
        <v>26</v>
      </c>
      <c r="BS6" s="33" t="str">
        <f t="shared" ref="BS6" si="13">LEFT(TEXT(BS5,"ddd"),1)</f>
        <v>d</v>
      </c>
    </row>
    <row r="7" spans="1:71" s="24" customFormat="1" ht="30" hidden="1" customHeight="1" thickBot="1" x14ac:dyDescent="0.3">
      <c r="A7" s="12" t="s">
        <v>2</v>
      </c>
      <c r="B7" s="34"/>
      <c r="C7" s="35"/>
      <c r="D7" s="34"/>
      <c r="E7" s="34"/>
      <c r="F7" s="34"/>
      <c r="H7" s="24" t="str">
        <f>IF(OR(ISBLANK(task_start),ISBLANK(task_end)),"",task_end-task_start+1)</f>
        <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row>
    <row r="8" spans="1:71" s="43" customFormat="1" ht="30" customHeight="1" thickBot="1" x14ac:dyDescent="0.3">
      <c r="A8" s="97"/>
      <c r="B8" s="37" t="s">
        <v>27</v>
      </c>
      <c r="C8" s="38"/>
      <c r="D8" s="39"/>
      <c r="E8" s="40"/>
      <c r="F8" s="41"/>
      <c r="G8" s="15"/>
      <c r="H8" s="5" t="str">
        <f t="shared" ref="H8:H35" si="14">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row>
    <row r="9" spans="1:71" s="43" customFormat="1" ht="30" customHeight="1" thickBot="1" x14ac:dyDescent="0.3">
      <c r="A9" s="97"/>
      <c r="B9" s="44" t="s">
        <v>28</v>
      </c>
      <c r="C9" s="45"/>
      <c r="D9" s="46"/>
      <c r="E9" s="47"/>
      <c r="F9" s="47"/>
      <c r="G9" s="15"/>
      <c r="H9" s="5" t="str">
        <f t="shared" si="14"/>
        <v/>
      </c>
      <c r="I9" s="113"/>
      <c r="J9" s="114"/>
      <c r="K9" s="114"/>
      <c r="L9" s="114"/>
      <c r="M9" s="114"/>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row>
    <row r="10" spans="1:71" s="43" customFormat="1" ht="30" customHeight="1" thickBot="1" x14ac:dyDescent="0.3">
      <c r="A10" s="12"/>
      <c r="B10" s="49" t="s">
        <v>30</v>
      </c>
      <c r="C10" s="50"/>
      <c r="D10" s="51"/>
      <c r="E10" s="52"/>
      <c r="F10" s="52"/>
      <c r="G10" s="15"/>
      <c r="H10" s="5" t="str">
        <f t="shared" si="14"/>
        <v/>
      </c>
      <c r="I10" s="48"/>
      <c r="J10" s="113"/>
      <c r="K10" s="114"/>
      <c r="L10" s="114"/>
      <c r="M10" s="114"/>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row>
    <row r="11" spans="1:71" s="43" customFormat="1" ht="30" customHeight="1" thickBot="1" x14ac:dyDescent="0.3">
      <c r="A11" s="97"/>
      <c r="B11" s="49" t="s">
        <v>35</v>
      </c>
      <c r="C11" s="50"/>
      <c r="D11" s="51"/>
      <c r="E11" s="52"/>
      <c r="F11" s="52"/>
      <c r="G11" s="15"/>
      <c r="H11" s="5" t="str">
        <f t="shared" si="14"/>
        <v/>
      </c>
      <c r="I11" s="48"/>
      <c r="J11" s="48"/>
      <c r="K11" s="48"/>
      <c r="L11" s="113"/>
      <c r="M11" s="114"/>
      <c r="N11" s="114"/>
      <c r="O11" s="114"/>
      <c r="P11" s="114"/>
      <c r="Q11" s="114"/>
      <c r="R11" s="48"/>
      <c r="S11" s="48"/>
      <c r="T11" s="48"/>
      <c r="U11" s="53"/>
      <c r="V11" s="53"/>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row>
    <row r="12" spans="1:71" s="43" customFormat="1" ht="30" customHeight="1" thickBot="1" x14ac:dyDescent="0.3">
      <c r="A12" s="12"/>
      <c r="B12" s="49" t="s">
        <v>31</v>
      </c>
      <c r="C12" s="50"/>
      <c r="D12" s="51"/>
      <c r="E12" s="52"/>
      <c r="F12" s="52"/>
      <c r="G12" s="15"/>
      <c r="H12" s="5" t="str">
        <f t="shared" si="14"/>
        <v/>
      </c>
      <c r="I12" s="48"/>
      <c r="J12" s="48"/>
      <c r="K12" s="48"/>
      <c r="L12" s="48"/>
      <c r="M12" s="113"/>
      <c r="N12" s="114"/>
      <c r="O12" s="48"/>
      <c r="P12" s="48"/>
      <c r="Q12" s="48"/>
      <c r="R12" s="48"/>
      <c r="S12" s="48"/>
      <c r="T12" s="48"/>
      <c r="U12" s="48"/>
      <c r="V12" s="48"/>
      <c r="W12" s="48"/>
      <c r="X12" s="48"/>
      <c r="Y12" s="53"/>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row>
    <row r="13" spans="1:71" s="43" customFormat="1" ht="30" customHeight="1" thickBot="1" x14ac:dyDescent="0.3">
      <c r="A13" s="12"/>
      <c r="B13" s="49" t="s">
        <v>32</v>
      </c>
      <c r="C13" s="50"/>
      <c r="D13" s="51"/>
      <c r="E13" s="52"/>
      <c r="F13" s="52"/>
      <c r="G13" s="15"/>
      <c r="H13" s="5" t="str">
        <f t="shared" si="14"/>
        <v/>
      </c>
      <c r="I13" s="48"/>
      <c r="J13" s="48"/>
      <c r="K13" s="48"/>
      <c r="L13" s="48"/>
      <c r="M13" s="48"/>
      <c r="N13" s="113"/>
      <c r="O13" s="114"/>
      <c r="P13" s="114"/>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row>
    <row r="14" spans="1:71" s="43" customFormat="1" ht="30" customHeight="1" thickBot="1" x14ac:dyDescent="0.3">
      <c r="A14" s="97"/>
      <c r="B14" s="54" t="s">
        <v>34</v>
      </c>
      <c r="C14" s="55"/>
      <c r="D14" s="56"/>
      <c r="E14" s="57"/>
      <c r="F14" s="58"/>
      <c r="G14" s="15"/>
      <c r="H14" s="5" t="str">
        <f t="shared" si="14"/>
        <v/>
      </c>
    </row>
    <row r="15" spans="1:71" s="43" customFormat="1" ht="30" customHeight="1" thickBot="1" x14ac:dyDescent="0.3">
      <c r="A15" s="97"/>
      <c r="B15" s="59" t="s">
        <v>33</v>
      </c>
      <c r="C15" s="60"/>
      <c r="D15" s="61"/>
      <c r="E15" s="62"/>
      <c r="F15" s="62"/>
      <c r="G15" s="15"/>
      <c r="H15" s="5" t="str">
        <f t="shared" si="14"/>
        <v/>
      </c>
      <c r="I15" s="48"/>
      <c r="J15" s="48"/>
      <c r="K15" s="48"/>
      <c r="L15" s="48"/>
      <c r="M15" s="48"/>
      <c r="N15" s="48"/>
      <c r="O15" s="48"/>
      <c r="P15" s="48"/>
      <c r="Q15" s="48"/>
      <c r="R15" s="48"/>
      <c r="S15" s="48"/>
      <c r="T15" s="115"/>
      <c r="U15" s="116"/>
      <c r="V15" s="116"/>
      <c r="W15" s="116"/>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row>
    <row r="16" spans="1:71" s="43" customFormat="1" ht="30" customHeight="1" thickBot="1" x14ac:dyDescent="0.3">
      <c r="A16" s="12"/>
      <c r="B16" s="59" t="s">
        <v>36</v>
      </c>
      <c r="C16" s="60"/>
      <c r="D16" s="61"/>
      <c r="E16" s="62"/>
      <c r="F16" s="62"/>
      <c r="G16" s="15"/>
      <c r="H16" s="5" t="str">
        <f t="shared" si="14"/>
        <v/>
      </c>
      <c r="I16" s="48"/>
      <c r="J16" s="48"/>
      <c r="K16" s="48"/>
      <c r="L16" s="48"/>
      <c r="M16" s="48"/>
      <c r="N16" s="48"/>
      <c r="O16" s="48"/>
      <c r="P16" s="48"/>
      <c r="Q16" s="48"/>
      <c r="R16" s="48"/>
      <c r="S16" s="48"/>
      <c r="T16" s="48"/>
      <c r="U16" s="115"/>
      <c r="V16" s="116"/>
      <c r="W16" s="116"/>
      <c r="X16" s="116"/>
      <c r="Y16" s="116"/>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row>
    <row r="17" spans="1:71" s="43" customFormat="1" ht="30" customHeight="1" thickBot="1" x14ac:dyDescent="0.3">
      <c r="A17" s="12"/>
      <c r="B17" s="59" t="s">
        <v>37</v>
      </c>
      <c r="C17" s="60"/>
      <c r="D17" s="61"/>
      <c r="E17" s="62"/>
      <c r="F17" s="62"/>
      <c r="G17" s="15"/>
      <c r="H17" s="5" t="str">
        <f t="shared" si="14"/>
        <v/>
      </c>
      <c r="I17" s="48"/>
      <c r="J17" s="48"/>
      <c r="K17" s="48"/>
      <c r="L17" s="48"/>
      <c r="M17" s="48"/>
      <c r="N17" s="48"/>
      <c r="O17" s="48"/>
      <c r="P17" s="48"/>
      <c r="Q17" s="48"/>
      <c r="R17" s="48"/>
      <c r="S17" s="48"/>
      <c r="T17" s="48"/>
      <c r="U17" s="115"/>
      <c r="V17" s="116"/>
      <c r="W17" s="116"/>
      <c r="X17" s="116"/>
      <c r="Y17" s="116"/>
      <c r="Z17" s="116"/>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row>
    <row r="18" spans="1:71" s="43" customFormat="1" ht="30" customHeight="1" thickBot="1" x14ac:dyDescent="0.3">
      <c r="A18" s="12"/>
      <c r="B18" s="59" t="s">
        <v>38</v>
      </c>
      <c r="C18" s="60"/>
      <c r="D18" s="61"/>
      <c r="E18" s="62"/>
      <c r="F18" s="62"/>
      <c r="G18" s="15"/>
      <c r="H18" s="5" t="str">
        <f t="shared" si="14"/>
        <v/>
      </c>
      <c r="I18" s="48"/>
      <c r="J18" s="48"/>
      <c r="K18" s="48"/>
      <c r="L18" s="48"/>
      <c r="M18" s="48"/>
      <c r="N18" s="48"/>
      <c r="O18" s="48"/>
      <c r="P18" s="48"/>
      <c r="Q18" s="48"/>
      <c r="R18" s="48"/>
      <c r="S18" s="48"/>
      <c r="T18" s="48"/>
      <c r="U18" s="48"/>
      <c r="V18" s="48"/>
      <c r="W18" s="48"/>
      <c r="X18" s="48"/>
      <c r="Y18" s="115"/>
      <c r="Z18" s="116"/>
      <c r="AA18" s="116"/>
      <c r="AB18" s="116"/>
      <c r="AC18" s="116"/>
      <c r="AD18" s="116"/>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row>
    <row r="19" spans="1:71" s="43" customFormat="1" ht="30" customHeight="1" thickBot="1" x14ac:dyDescent="0.3">
      <c r="A19" s="12"/>
      <c r="B19" s="59" t="s">
        <v>41</v>
      </c>
      <c r="C19" s="60"/>
      <c r="D19" s="61"/>
      <c r="E19" s="62"/>
      <c r="F19" s="62"/>
      <c r="G19" s="15"/>
      <c r="H19" s="5" t="str">
        <f t="shared" si="14"/>
        <v/>
      </c>
      <c r="I19" s="48"/>
      <c r="J19" s="48"/>
      <c r="K19" s="48"/>
      <c r="L19" s="48"/>
      <c r="M19" s="48"/>
      <c r="N19" s="48"/>
      <c r="O19" s="48"/>
      <c r="P19" s="48"/>
      <c r="Q19" s="48"/>
      <c r="R19" s="48"/>
      <c r="S19" s="48"/>
      <c r="T19" s="48"/>
      <c r="U19" s="48"/>
      <c r="V19" s="48"/>
      <c r="W19" s="48"/>
      <c r="X19" s="48"/>
      <c r="Y19" s="48"/>
      <c r="Z19" s="48"/>
      <c r="AA19" s="115"/>
      <c r="AB19" s="116"/>
      <c r="AC19" s="116"/>
      <c r="AD19" s="116"/>
      <c r="AE19" s="116"/>
      <c r="AF19" s="116"/>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row>
    <row r="20" spans="1:71" s="43" customFormat="1" ht="30" customHeight="1" thickBot="1" x14ac:dyDescent="0.3">
      <c r="A20" s="12"/>
      <c r="B20" s="59" t="s">
        <v>42</v>
      </c>
      <c r="C20" s="60"/>
      <c r="D20" s="61"/>
      <c r="E20" s="62"/>
      <c r="F20" s="62"/>
      <c r="G20" s="15"/>
      <c r="H20" s="5" t="str">
        <f t="shared" si="14"/>
        <v/>
      </c>
      <c r="I20" s="48"/>
      <c r="J20" s="48"/>
      <c r="K20" s="48"/>
      <c r="L20" s="48"/>
      <c r="M20" s="48"/>
      <c r="N20" s="48"/>
      <c r="O20" s="48"/>
      <c r="P20" s="48"/>
      <c r="Q20" s="48"/>
      <c r="R20" s="48"/>
      <c r="S20" s="48"/>
      <c r="T20" s="48"/>
      <c r="U20" s="48"/>
      <c r="V20" s="48"/>
      <c r="W20" s="48"/>
      <c r="X20" s="48"/>
      <c r="Y20" s="48"/>
      <c r="Z20" s="48"/>
      <c r="AA20" s="48"/>
      <c r="AB20" s="48"/>
      <c r="AC20" s="48"/>
      <c r="AD20" s="115"/>
      <c r="AE20" s="116"/>
      <c r="AF20" s="116"/>
      <c r="AG20" s="116"/>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row>
    <row r="21" spans="1:71" s="43" customFormat="1" ht="30" customHeight="1" thickBot="1" x14ac:dyDescent="0.3">
      <c r="A21" s="12"/>
      <c r="B21" s="59" t="s">
        <v>39</v>
      </c>
      <c r="C21" s="60"/>
      <c r="D21" s="61"/>
      <c r="E21" s="62"/>
      <c r="F21" s="62"/>
      <c r="G21" s="15"/>
      <c r="H21" s="5" t="str">
        <f t="shared" si="14"/>
        <v/>
      </c>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115"/>
      <c r="AM21" s="116"/>
      <c r="AN21" s="116"/>
      <c r="AO21" s="116"/>
      <c r="AP21" s="116"/>
      <c r="AQ21" s="116"/>
      <c r="AR21" s="116"/>
      <c r="AS21" s="116"/>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row>
    <row r="22" spans="1:71" s="43" customFormat="1" ht="30" customHeight="1" thickBot="1" x14ac:dyDescent="0.3">
      <c r="A22" s="12"/>
      <c r="B22" s="59" t="s">
        <v>40</v>
      </c>
      <c r="C22" s="60"/>
      <c r="D22" s="61"/>
      <c r="E22" s="62"/>
      <c r="F22" s="62"/>
      <c r="G22" s="15"/>
      <c r="H22" s="5" t="str">
        <f t="shared" si="14"/>
        <v/>
      </c>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115"/>
      <c r="AP22" s="116"/>
      <c r="AQ22" s="116"/>
      <c r="AR22" s="116"/>
      <c r="AS22" s="116"/>
      <c r="AT22" s="116"/>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row>
    <row r="23" spans="1:71" s="43" customFormat="1" ht="30" customHeight="1" thickBot="1" x14ac:dyDescent="0.3">
      <c r="A23" s="12"/>
      <c r="B23" s="63" t="s">
        <v>3</v>
      </c>
      <c r="C23" s="64"/>
      <c r="D23" s="65"/>
      <c r="E23" s="66"/>
      <c r="F23" s="67"/>
      <c r="G23" s="15"/>
      <c r="H23" s="5" t="str">
        <f t="shared" si="14"/>
        <v/>
      </c>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row>
    <row r="24" spans="1:71" s="43" customFormat="1" ht="30" customHeight="1" thickBot="1" x14ac:dyDescent="0.3">
      <c r="A24" s="12"/>
      <c r="B24" s="69" t="s">
        <v>44</v>
      </c>
      <c r="C24" s="70"/>
      <c r="D24" s="71"/>
      <c r="E24" s="72"/>
      <c r="F24" s="72"/>
      <c r="G24" s="15"/>
      <c r="H24" s="5" t="str">
        <f t="shared" si="14"/>
        <v/>
      </c>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117"/>
      <c r="AU24" s="118"/>
      <c r="AV24" s="118"/>
      <c r="AW24" s="118"/>
      <c r="AX24" s="118"/>
      <c r="AY24" s="48"/>
      <c r="AZ24" s="48"/>
      <c r="BA24" s="48"/>
      <c r="BB24" s="48"/>
      <c r="BC24" s="48"/>
      <c r="BD24" s="48"/>
      <c r="BE24" s="48"/>
      <c r="BF24" s="48"/>
      <c r="BG24" s="48"/>
      <c r="BH24" s="48"/>
      <c r="BI24" s="48"/>
      <c r="BJ24" s="48"/>
      <c r="BK24" s="48"/>
      <c r="BL24" s="48"/>
      <c r="BM24" s="48"/>
      <c r="BN24" s="48"/>
      <c r="BO24" s="48"/>
      <c r="BP24" s="48"/>
      <c r="BQ24" s="48"/>
      <c r="BR24" s="48"/>
      <c r="BS24" s="48"/>
    </row>
    <row r="25" spans="1:71" s="43" customFormat="1" ht="30" customHeight="1" thickBot="1" x14ac:dyDescent="0.3">
      <c r="A25" s="12"/>
      <c r="B25" s="69" t="s">
        <v>43</v>
      </c>
      <c r="C25" s="70"/>
      <c r="D25" s="71"/>
      <c r="E25" s="72"/>
      <c r="F25" s="72"/>
      <c r="G25" s="15"/>
      <c r="H25" s="5" t="str">
        <f t="shared" si="14"/>
        <v/>
      </c>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117"/>
      <c r="AY25" s="118"/>
      <c r="AZ25" s="118"/>
      <c r="BA25" s="118"/>
      <c r="BB25" s="118"/>
      <c r="BC25" s="118"/>
      <c r="BD25" s="118"/>
      <c r="BE25" s="118"/>
      <c r="BF25" s="118"/>
      <c r="BG25" s="118"/>
      <c r="BH25" s="118"/>
      <c r="BI25" s="48"/>
      <c r="BJ25" s="48"/>
      <c r="BK25" s="48"/>
      <c r="BL25" s="48"/>
      <c r="BM25" s="48"/>
      <c r="BN25" s="48"/>
      <c r="BO25" s="48"/>
      <c r="BP25" s="48"/>
      <c r="BQ25" s="48"/>
      <c r="BR25" s="48"/>
      <c r="BS25" s="48"/>
    </row>
    <row r="26" spans="1:71" s="43" customFormat="1" ht="30" customHeight="1" thickBot="1" x14ac:dyDescent="0.3">
      <c r="A26" s="12"/>
      <c r="B26" s="69" t="s">
        <v>45</v>
      </c>
      <c r="C26" s="70"/>
      <c r="D26" s="71"/>
      <c r="E26" s="72"/>
      <c r="F26" s="72"/>
      <c r="G26" s="15"/>
      <c r="H26" s="5"/>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117"/>
      <c r="BD26" s="118"/>
      <c r="BE26" s="118"/>
      <c r="BF26" s="118"/>
      <c r="BG26" s="118"/>
      <c r="BH26" s="118"/>
      <c r="BI26" s="48"/>
      <c r="BJ26" s="48"/>
      <c r="BK26" s="48"/>
      <c r="BL26" s="48"/>
      <c r="BM26" s="48"/>
      <c r="BN26" s="48"/>
      <c r="BO26" s="48"/>
      <c r="BP26" s="48"/>
      <c r="BQ26" s="48"/>
      <c r="BR26" s="48"/>
      <c r="BS26" s="48"/>
    </row>
    <row r="27" spans="1:71" s="43" customFormat="1" ht="30" customHeight="1" thickBot="1" x14ac:dyDescent="0.3">
      <c r="A27" s="12"/>
      <c r="B27" s="69" t="s">
        <v>46</v>
      </c>
      <c r="C27" s="70"/>
      <c r="D27" s="71"/>
      <c r="E27" s="72"/>
      <c r="F27" s="72"/>
      <c r="G27" s="15"/>
      <c r="H27" s="5" t="str">
        <f t="shared" si="14"/>
        <v/>
      </c>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117"/>
      <c r="BG27" s="118"/>
      <c r="BH27" s="118"/>
      <c r="BI27" s="118"/>
      <c r="BJ27" s="118"/>
      <c r="BK27" s="118"/>
      <c r="BL27" s="48"/>
      <c r="BM27" s="48"/>
      <c r="BN27" s="48"/>
      <c r="BO27" s="48"/>
      <c r="BP27" s="48"/>
      <c r="BQ27" s="48"/>
      <c r="BR27" s="48"/>
      <c r="BS27" s="48"/>
    </row>
    <row r="28" spans="1:71" s="43" customFormat="1" ht="30" customHeight="1" thickBot="1" x14ac:dyDescent="0.3">
      <c r="A28" s="12"/>
      <c r="B28" s="73" t="s">
        <v>4</v>
      </c>
      <c r="C28" s="74"/>
      <c r="D28" s="75"/>
      <c r="E28" s="76"/>
      <c r="F28" s="77"/>
      <c r="G28" s="15"/>
      <c r="H28" s="5" t="str">
        <f t="shared" si="14"/>
        <v/>
      </c>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row>
    <row r="29" spans="1:71" s="43" customFormat="1" ht="30" customHeight="1" thickBot="1" x14ac:dyDescent="0.3">
      <c r="A29" s="12"/>
      <c r="B29" s="79" t="s">
        <v>47</v>
      </c>
      <c r="C29" s="80"/>
      <c r="D29" s="81"/>
      <c r="E29" s="82"/>
      <c r="F29" s="82"/>
      <c r="G29" s="15"/>
      <c r="H29" s="5" t="str">
        <f t="shared" si="14"/>
        <v/>
      </c>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119"/>
      <c r="BH29" s="120"/>
      <c r="BI29" s="120"/>
      <c r="BJ29" s="120"/>
      <c r="BK29" s="120"/>
      <c r="BL29" s="48"/>
      <c r="BM29" s="48"/>
      <c r="BN29" s="48"/>
      <c r="BO29" s="48"/>
      <c r="BP29" s="48"/>
      <c r="BQ29" s="48"/>
      <c r="BR29" s="48"/>
      <c r="BS29" s="48"/>
    </row>
    <row r="30" spans="1:71" s="43" customFormat="1" ht="30" customHeight="1" thickBot="1" x14ac:dyDescent="0.3">
      <c r="A30" s="12"/>
      <c r="B30" s="79" t="s">
        <v>48</v>
      </c>
      <c r="C30" s="80"/>
      <c r="D30" s="81"/>
      <c r="E30" s="82"/>
      <c r="F30" s="82"/>
      <c r="G30" s="15"/>
      <c r="H30" s="5" t="str">
        <f t="shared" si="14"/>
        <v/>
      </c>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119"/>
      <c r="BJ30" s="120"/>
      <c r="BK30" s="120"/>
      <c r="BL30" s="120"/>
      <c r="BM30" s="120"/>
      <c r="BN30" s="120"/>
      <c r="BO30" s="120"/>
      <c r="BP30" s="120"/>
      <c r="BQ30" s="48"/>
      <c r="BR30" s="48"/>
      <c r="BS30" s="48"/>
    </row>
    <row r="34" spans="1:71" ht="30" customHeight="1" thickBot="1" x14ac:dyDescent="0.3"/>
    <row r="35" spans="1:71" s="43" customFormat="1" ht="30" customHeight="1" thickBot="1" x14ac:dyDescent="0.3">
      <c r="A35" s="12"/>
      <c r="B35" s="83"/>
      <c r="C35" s="84"/>
      <c r="D35" s="85"/>
      <c r="E35" s="86"/>
      <c r="F35" s="86"/>
      <c r="G35" s="15"/>
      <c r="H35" s="5" t="str">
        <f t="shared" si="14"/>
        <v/>
      </c>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row>
    <row r="37" spans="1:71" ht="30" customHeight="1" x14ac:dyDescent="0.25">
      <c r="G37" s="3"/>
    </row>
    <row r="38" spans="1:71" ht="30" customHeight="1" x14ac:dyDescent="0.25">
      <c r="C38" s="14"/>
      <c r="F38" s="13"/>
    </row>
    <row r="39" spans="1:71" ht="30" customHeight="1" x14ac:dyDescent="0.25">
      <c r="C39" s="4"/>
    </row>
  </sheetData>
  <mergeCells count="19">
    <mergeCell ref="BM4:BS4"/>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10 D35 D12:D30">
    <cfRule type="dataBar" priority="7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8 I10 I12:L12 I13:M13 O12:BL12 Q13:BL13 N9:BL10 I14:BL23 AY25:BL25 I25:AW25 I24:AS24 I26:BB26 I27:BE27 BD26:BM26 BG27:BO27 I28:BL29 BM7:BS10 AU24:BS24 BM12:BS23 BM25:BS29 I30:BS30">
    <cfRule type="expression" dxfId="48" priority="55">
      <formula>AND(TODAY()&gt;=I$5, TODAY()&lt;J$5)</formula>
    </cfRule>
  </conditionalFormatting>
  <conditionalFormatting sqref="I13:M13 I10 I12:L12 O12:BL12 Q13:BL13 N9:BS10 BM12:BS13">
    <cfRule type="expression" dxfId="47" priority="60">
      <formula>AND(task_start&lt;=I$5,ROUNDDOWN((task_end-task_start+1)*task_progress,0)+task_start-1&gt;=I$5)</formula>
    </cfRule>
    <cfRule type="expression" dxfId="46" priority="61" stopIfTrue="1">
      <formula>AND(task_end&gt;=I$5,task_start&lt;J$5)</formula>
    </cfRule>
  </conditionalFormatting>
  <conditionalFormatting sqref="I15:BL22">
    <cfRule type="expression" dxfId="45" priority="58">
      <formula>AND(task_start&lt;=I$5,ROUNDDOWN((task_end-task_start+1)*task_progress,0)+task_start-1&gt;=I$5)</formula>
    </cfRule>
    <cfRule type="expression" dxfId="44" priority="59" stopIfTrue="1">
      <formula>AND(task_end&gt;=I$5,task_start&lt;J$5)</formula>
    </cfRule>
  </conditionalFormatting>
  <conditionalFormatting sqref="I25:AW25 I27:BE27 I24:AS24 I26:BB26 BD26:BM26 BG27:BO27 AY25:BS25 BM26:BS27 AU24:BS24">
    <cfRule type="expression" dxfId="43" priority="56">
      <formula>AND(task_start&lt;=I$5,ROUNDDOWN((task_end-task_start+1)*task_progress,0)+task_start-1&gt;=I$5)</formula>
    </cfRule>
    <cfRule type="expression" dxfId="42" priority="57" stopIfTrue="1">
      <formula>AND(task_end&gt;=I$5,task_start&lt;J$5)</formula>
    </cfRule>
  </conditionalFormatting>
  <conditionalFormatting sqref="I29:BL29 I30:BP30">
    <cfRule type="expression" dxfId="41" priority="90">
      <formula>AND(task_start&lt;=I$5,ROUNDDOWN((task_end-task_start+1)*task_progress,0)+task_start-1&gt;=I$5)</formula>
    </cfRule>
    <cfRule type="expression" dxfId="40" priority="91" stopIfTrue="1">
      <formula>AND(task_end&gt;=I$5,task_start&lt;J$5)</formula>
    </cfRule>
  </conditionalFormatting>
  <conditionalFormatting sqref="BM4:BS5">
    <cfRule type="expression" dxfId="39" priority="46">
      <formula>AND(TODAY()&gt;=BM$5, TODAY()&lt;BN$5)</formula>
    </cfRule>
  </conditionalFormatting>
  <conditionalFormatting sqref="BM15:BS22">
    <cfRule type="expression" dxfId="38" priority="49">
      <formula>AND(task_start&lt;=BM$5,ROUNDDOWN((task_end-task_start+1)*task_progress,0)+task_start-1&gt;=BM$5)</formula>
    </cfRule>
    <cfRule type="expression" dxfId="37" priority="50" stopIfTrue="1">
      <formula>AND(task_end&gt;=BM$5,task_start&lt;BN$5)</formula>
    </cfRule>
  </conditionalFormatting>
  <conditionalFormatting sqref="BM29:BS29 BQ30:BS30">
    <cfRule type="expression" dxfId="36" priority="53">
      <formula>AND(task_start&lt;=BM$5,ROUNDDOWN((task_end-task_start+1)*task_progress,0)+task_start-1&gt;=BM$5)</formula>
    </cfRule>
    <cfRule type="expression" dxfId="35" priority="54" stopIfTrue="1">
      <formula>AND(task_end&gt;=BM$5,task_start&lt;BN$5)</formula>
    </cfRule>
  </conditionalFormatting>
  <conditionalFormatting sqref="BM6:BS6">
    <cfRule type="expression" dxfId="34" priority="45">
      <formula>AND(TODAY()&gt;=BM$5, TODAY()&lt;BN$5)</formula>
    </cfRule>
  </conditionalFormatting>
  <conditionalFormatting sqref="J10">
    <cfRule type="expression" dxfId="33" priority="93">
      <formula>AND(TODAY()&gt;=K$5, TODAY()&lt;L$5)</formula>
    </cfRule>
  </conditionalFormatting>
  <conditionalFormatting sqref="J10">
    <cfRule type="expression" dxfId="32" priority="97">
      <formula>AND(task_start&lt;=K$5,ROUNDDOWN((task_end-task_start+1)*task_progress,0)+task_start-1&gt;=K$5)</formula>
    </cfRule>
    <cfRule type="expression" dxfId="31" priority="98" stopIfTrue="1">
      <formula>AND(task_end&gt;=K$5,task_start&lt;L$5)</formula>
    </cfRule>
  </conditionalFormatting>
  <conditionalFormatting sqref="M12">
    <cfRule type="expression" dxfId="30" priority="42">
      <formula>AND(TODAY()&gt;=N$5, TODAY()&lt;O$5)</formula>
    </cfRule>
  </conditionalFormatting>
  <conditionalFormatting sqref="M12">
    <cfRule type="expression" dxfId="29" priority="43">
      <formula>AND(task_start&lt;=N$5,ROUNDDOWN((task_end-task_start+1)*task_progress,0)+task_start-1&gt;=N$5)</formula>
    </cfRule>
    <cfRule type="expression" dxfId="28" priority="44" stopIfTrue="1">
      <formula>AND(task_end&gt;=N$5,task_start&lt;O$5)</formula>
    </cfRule>
  </conditionalFormatting>
  <conditionalFormatting sqref="N13">
    <cfRule type="expression" dxfId="27" priority="39">
      <formula>AND(TODAY()&gt;=O$5, TODAY()&lt;P$5)</formula>
    </cfRule>
  </conditionalFormatting>
  <conditionalFormatting sqref="N13">
    <cfRule type="expression" dxfId="26" priority="40">
      <formula>AND(task_start&lt;=O$5,ROUNDDOWN((task_end-task_start+1)*task_progress,0)+task_start-1&gt;=O$5)</formula>
    </cfRule>
    <cfRule type="expression" dxfId="25" priority="41" stopIfTrue="1">
      <formula>AND(task_end&gt;=O$5,task_start&lt;P$5)</formula>
    </cfRule>
  </conditionalFormatting>
  <conditionalFormatting sqref="I9">
    <cfRule type="expression" dxfId="24" priority="33">
      <formula>AND(TODAY()&gt;=J$5, TODAY()&lt;K$5)</formula>
    </cfRule>
  </conditionalFormatting>
  <conditionalFormatting sqref="I9">
    <cfRule type="expression" dxfId="23" priority="34">
      <formula>AND(task_start&lt;=J$5,ROUNDDOWN((task_end-task_start+1)*task_progress,0)+task_start-1&gt;=J$5)</formula>
    </cfRule>
    <cfRule type="expression" dxfId="22" priority="35" stopIfTrue="1">
      <formula>AND(task_end&gt;=J$5,task_start&lt;K$5)</formula>
    </cfRule>
  </conditionalFormatting>
  <conditionalFormatting sqref="AX25">
    <cfRule type="expression" dxfId="21" priority="27">
      <formula>AND(TODAY()&gt;=AW$5, TODAY()&lt;AX$5)</formula>
    </cfRule>
  </conditionalFormatting>
  <conditionalFormatting sqref="AX25">
    <cfRule type="expression" dxfId="20" priority="28">
      <formula>AND(task_start&lt;=AW$5,ROUNDDOWN((task_end-task_start+1)*task_progress,0)+task_start-1&gt;=AW$5)</formula>
    </cfRule>
    <cfRule type="expression" dxfId="19" priority="29" stopIfTrue="1">
      <formula>AND(task_end&gt;=AW$5,task_start&lt;AX$5)</formula>
    </cfRule>
  </conditionalFormatting>
  <conditionalFormatting sqref="AT24">
    <cfRule type="expression" dxfId="18" priority="24">
      <formula>AND(TODAY()&gt;=AS$5, TODAY()&lt;AT$5)</formula>
    </cfRule>
  </conditionalFormatting>
  <conditionalFormatting sqref="AT24">
    <cfRule type="expression" dxfId="17" priority="25">
      <formula>AND(task_start&lt;=AS$5,ROUNDDOWN((task_end-task_start+1)*task_progress,0)+task_start-1&gt;=AS$5)</formula>
    </cfRule>
    <cfRule type="expression" dxfId="16" priority="26" stopIfTrue="1">
      <formula>AND(task_end&gt;=AS$5,task_start&lt;AT$5)</formula>
    </cfRule>
  </conditionalFormatting>
  <conditionalFormatting sqref="BC26">
    <cfRule type="expression" dxfId="15" priority="15">
      <formula>AND(TODAY()&gt;=BB$5, TODAY()&lt;BC$5)</formula>
    </cfRule>
  </conditionalFormatting>
  <conditionalFormatting sqref="BC26">
    <cfRule type="expression" dxfId="14" priority="16">
      <formula>AND(task_start&lt;=BB$5,ROUNDDOWN((task_end-task_start+1)*task_progress,0)+task_start-1&gt;=BB$5)</formula>
    </cfRule>
    <cfRule type="expression" dxfId="13" priority="17" stopIfTrue="1">
      <formula>AND(task_end&gt;=BB$5,task_start&lt;BC$5)</formula>
    </cfRule>
  </conditionalFormatting>
  <conditionalFormatting sqref="BF27">
    <cfRule type="expression" dxfId="12" priority="12">
      <formula>AND(TODAY()&gt;=BE$5, TODAY()&lt;BF$5)</formula>
    </cfRule>
  </conditionalFormatting>
  <conditionalFormatting sqref="BF27">
    <cfRule type="expression" dxfId="11" priority="13">
      <formula>AND(task_start&lt;=BE$5,ROUNDDOWN((task_end-task_start+1)*task_progress,0)+task_start-1&gt;=BE$5)</formula>
    </cfRule>
    <cfRule type="expression" dxfId="10" priority="14" stopIfTrue="1">
      <formula>AND(task_end&gt;=BE$5,task_start&lt;BF$5)</formula>
    </cfRule>
  </conditionalFormatting>
  <conditionalFormatting sqref="BL27">
    <cfRule type="expression" dxfId="9" priority="10">
      <formula>AND(task_start&lt;=BL$5,ROUNDDOWN((task_end-task_start+1)*task_progress,0)+task_start-1&gt;=BL$5)</formula>
    </cfRule>
    <cfRule type="expression" dxfId="8" priority="11" stopIfTrue="1">
      <formula>AND(task_end&gt;=BL$5,task_start&lt;BM$5)</formula>
    </cfRule>
  </conditionalFormatting>
  <conditionalFormatting sqref="D11">
    <cfRule type="dataBar" priority="9">
      <dataBar>
        <cfvo type="num" val="0"/>
        <cfvo type="num" val="1"/>
        <color theme="0"/>
      </dataBar>
      <extLst>
        <ext xmlns:x14="http://schemas.microsoft.com/office/spreadsheetml/2009/9/main" uri="{B025F937-C7B1-47D3-B67F-A62EFF666E3E}">
          <x14:id>{50B3E0DA-FE2F-45E7-A9FD-7194D453900E}</x14:id>
        </ext>
      </extLst>
    </cfRule>
  </conditionalFormatting>
  <conditionalFormatting sqref="I11:K11 R11:BS11">
    <cfRule type="expression" dxfId="7" priority="6">
      <formula>AND(TODAY()&gt;=I$5, TODAY()&lt;J$5)</formula>
    </cfRule>
  </conditionalFormatting>
  <conditionalFormatting sqref="I11:K11 R11:BL11">
    <cfRule type="expression" dxfId="6" priority="7">
      <formula>AND(task_start&lt;=I$5,ROUNDDOWN((task_end-task_start+1)*task_progress,0)+task_start-1&gt;=I$5)</formula>
    </cfRule>
    <cfRule type="expression" dxfId="5" priority="8" stopIfTrue="1">
      <formula>AND(task_end&gt;=I$5,task_start&lt;J$5)</formula>
    </cfRule>
  </conditionalFormatting>
  <conditionalFormatting sqref="BM11:BS11">
    <cfRule type="expression" dxfId="4" priority="4">
      <formula>AND(task_start&lt;=BM$5,ROUNDDOWN((task_end-task_start+1)*task_progress,0)+task_start-1&gt;=BM$5)</formula>
    </cfRule>
    <cfRule type="expression" dxfId="3" priority="5" stopIfTrue="1">
      <formula>AND(task_end&gt;=BM$5,task_start&lt;BN$5)</formula>
    </cfRule>
  </conditionalFormatting>
  <conditionalFormatting sqref="L11">
    <cfRule type="expression" dxfId="2" priority="1">
      <formula>AND(TODAY()&gt;=M$5, TODAY()&lt;N$5)</formula>
    </cfRule>
  </conditionalFormatting>
  <conditionalFormatting sqref="L11">
    <cfRule type="expression" dxfId="1" priority="2">
      <formula>AND(task_start&lt;=M$5,ROUNDDOWN((task_end-task_start+1)*task_progress,0)+task_start-1&gt;=M$5)</formula>
    </cfRule>
    <cfRule type="expression" dxfId="0" priority="3" stopIfTrue="1">
      <formula>AND(task_end&gt;=M$5,task_start&lt;N$5)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3" xr:uid="{956902D1-D3B5-416D-BB69-9362D193BC0A}"/>
    <dataValidation allowBlank="1" showInputMessage="1" showErrorMessage="1" prompt="Phase 4's sample block starts in cell B26." sqref="A28"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D7:D10 D35 D12:D30</xm:sqref>
        </x14:conditionalFormatting>
        <x14:conditionalFormatting xmlns:xm="http://schemas.microsoft.com/office/excel/2006/main">
          <x14:cfRule type="dataBar" id="{50B3E0DA-FE2F-45E7-A9FD-7194D453900E}">
            <x14:dataBar minLength="0" maxLength="100" gradient="0">
              <x14:cfvo type="num">
                <xm:f>0</xm:f>
              </x14:cfvo>
              <x14:cfvo type="num">
                <xm:f>1</xm:f>
              </x14:cfvo>
              <x14:negativeFillColor rgb="FFFF0000"/>
              <x14:axisColor rgb="FF000000"/>
            </x14:dataBar>
          </x14:cfRule>
          <xm:sqref>D11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2" x14ac:dyDescent="0.25"/>
  <cols>
    <col min="1" max="1" width="87" style="6" customWidth="1"/>
    <col min="2" max="16384" width="9" style="1"/>
  </cols>
  <sheetData>
    <row r="1" spans="1:2" ht="46.5" customHeight="1" x14ac:dyDescent="0.25"/>
    <row r="2" spans="1:2" s="8" customFormat="1" ht="15.6" x14ac:dyDescent="0.25">
      <c r="A2" s="90" t="s">
        <v>1</v>
      </c>
      <c r="B2" s="7"/>
    </row>
    <row r="3" spans="1:2" s="10" customFormat="1" ht="27" customHeight="1" x14ac:dyDescent="0.25">
      <c r="A3" s="91"/>
      <c r="B3" s="11"/>
    </row>
    <row r="4" spans="1:2" s="9" customFormat="1" ht="30" x14ac:dyDescent="0.7">
      <c r="A4" s="92" t="s">
        <v>5</v>
      </c>
    </row>
    <row r="5" spans="1:2" ht="74.25" customHeight="1" x14ac:dyDescent="0.25">
      <c r="A5" s="93" t="s">
        <v>6</v>
      </c>
    </row>
    <row r="6" spans="1:2" ht="26.25" customHeight="1" x14ac:dyDescent="0.25">
      <c r="A6" s="92" t="s">
        <v>7</v>
      </c>
    </row>
    <row r="7" spans="1:2" s="6" customFormat="1" ht="205.2" customHeight="1" x14ac:dyDescent="0.25">
      <c r="A7" s="94" t="s">
        <v>8</v>
      </c>
    </row>
    <row r="8" spans="1:2" s="9" customFormat="1" ht="30" x14ac:dyDescent="0.7">
      <c r="A8" s="92" t="s">
        <v>9</v>
      </c>
    </row>
    <row r="9" spans="1:2" ht="41.4" x14ac:dyDescent="0.25">
      <c r="A9" s="93" t="s">
        <v>10</v>
      </c>
    </row>
    <row r="10" spans="1:2" s="6" customFormat="1" ht="28.2" customHeight="1" x14ac:dyDescent="0.25">
      <c r="A10" s="95" t="s">
        <v>11</v>
      </c>
    </row>
    <row r="11" spans="1:2" s="9" customFormat="1" ht="30" x14ac:dyDescent="0.7">
      <c r="A11" s="92" t="s">
        <v>12</v>
      </c>
    </row>
    <row r="12" spans="1:2" ht="27.6" x14ac:dyDescent="0.25">
      <c r="A12" s="93" t="s">
        <v>13</v>
      </c>
    </row>
    <row r="13" spans="1:2" s="6" customFormat="1" ht="28.2" customHeight="1" x14ac:dyDescent="0.25">
      <c r="A13" s="95" t="s">
        <v>14</v>
      </c>
    </row>
    <row r="14" spans="1:2" s="9" customFormat="1" ht="30" x14ac:dyDescent="0.7">
      <c r="A14" s="92" t="s">
        <v>15</v>
      </c>
    </row>
    <row r="15" spans="1:2" ht="75" customHeight="1" x14ac:dyDescent="0.25">
      <c r="A15" s="93" t="s">
        <v>16</v>
      </c>
    </row>
    <row r="16" spans="1:2" ht="69" x14ac:dyDescent="0.25">
      <c r="A16" s="93" t="s">
        <v>17</v>
      </c>
    </row>
    <row r="17" spans="1:1" x14ac:dyDescent="0.25">
      <c r="A17" s="96"/>
    </row>
    <row r="18" spans="1:1" x14ac:dyDescent="0.25">
      <c r="A18" s="96"/>
    </row>
    <row r="19" spans="1:1" x14ac:dyDescent="0.25">
      <c r="A19" s="96"/>
    </row>
    <row r="20" spans="1:1" x14ac:dyDescent="0.25">
      <c r="A20" s="96"/>
    </row>
    <row r="21" spans="1:1" x14ac:dyDescent="0.25">
      <c r="A21" s="96"/>
    </row>
    <row r="22" spans="1:1" x14ac:dyDescent="0.25">
      <c r="A22" s="96"/>
    </row>
    <row r="23" spans="1:1" x14ac:dyDescent="0.25">
      <c r="A23" s="96"/>
    </row>
    <row r="24" spans="1:1" x14ac:dyDescent="0.25">
      <c r="A24" s="9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Project schedule</vt:lpstr>
      <vt:lpstr>About</vt:lpstr>
      <vt:lpstr>Display_Week</vt:lpstr>
      <vt:lpstr>'Project schedule'!Impression_des_titres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Arthur BAILLET</cp:lastModifiedBy>
  <cp:revision/>
  <dcterms:created xsi:type="dcterms:W3CDTF">2022-03-11T22:41:12Z</dcterms:created>
  <dcterms:modified xsi:type="dcterms:W3CDTF">2026-04-14T13:39:52Z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